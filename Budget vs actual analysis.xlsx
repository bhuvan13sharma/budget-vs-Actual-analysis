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24" i="1"/>
  <c r="D25"/>
  <c r="D26"/>
  <c r="D27"/>
  <c r="D28"/>
  <c r="E25"/>
  <c r="E26"/>
  <c r="E27"/>
  <c r="E28"/>
  <c r="D24"/>
</calcChain>
</file>

<file path=xl/sharedStrings.xml><?xml version="1.0" encoding="utf-8"?>
<sst xmlns="http://schemas.openxmlformats.org/spreadsheetml/2006/main" count="13" uniqueCount="13">
  <si>
    <t>category</t>
  </si>
  <si>
    <t>budget</t>
  </si>
  <si>
    <t>variance</t>
  </si>
  <si>
    <t>variance%</t>
  </si>
  <si>
    <t>sales</t>
  </si>
  <si>
    <t>marketing</t>
  </si>
  <si>
    <t>salary</t>
  </si>
  <si>
    <t>rent</t>
  </si>
  <si>
    <t>utilites</t>
  </si>
  <si>
    <t>budget vs actual dasboard</t>
  </si>
  <si>
    <t>Budget vs Actual</t>
  </si>
  <si>
    <t>Variance Analysis</t>
  </si>
  <si>
    <t>Actual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</si>
</sst>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 val="double"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 val="double"/>
      <sz val="24"/>
      <color theme="1"/>
      <name val="Calibri"/>
      <family val="2"/>
      <scheme val="minor"/>
    </font>
    <font>
      <u val="double"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 val="double"/>
      <sz val="18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/>
    <xf numFmtId="0" fontId="1" fillId="2" borderId="0" xfId="0" applyFont="1" applyFill="1"/>
    <xf numFmtId="0" fontId="2" fillId="3" borderId="6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5944632163697983"/>
          <c:y val="5.2281743470590766E-2"/>
          <c:w val="0.81467480555756222"/>
          <c:h val="0.67927894429862934"/>
        </c:manualLayout>
      </c:layout>
      <c:barChart>
        <c:barDir val="col"/>
        <c:grouping val="clustered"/>
        <c:ser>
          <c:idx val="0"/>
          <c:order val="0"/>
          <c:tx>
            <c:strRef>
              <c:f>Sheet1!$B$22</c:f>
              <c:strCache>
                <c:ptCount val="1"/>
              </c:strCache>
            </c:strRef>
          </c:tx>
          <c:cat>
            <c:strRef>
              <c:f>Sheet1!$A$23:$A$28</c:f>
              <c:strCache>
                <c:ptCount val="6"/>
                <c:pt idx="0">
                  <c:v>category</c:v>
                </c:pt>
                <c:pt idx="1">
                  <c:v>sales</c:v>
                </c:pt>
                <c:pt idx="2">
                  <c:v>marketing</c:v>
                </c:pt>
                <c:pt idx="3">
                  <c:v>salary</c:v>
                </c:pt>
                <c:pt idx="4">
                  <c:v>rent</c:v>
                </c:pt>
                <c:pt idx="5">
                  <c:v>utilites</c:v>
                </c:pt>
              </c:strCache>
            </c:strRef>
          </c:cat>
          <c:val>
            <c:numRef>
              <c:f>Sheet1!$B$23:$B$28</c:f>
              <c:numCache>
                <c:formatCode>General</c:formatCode>
                <c:ptCount val="6"/>
                <c:pt idx="0">
                  <c:v>0</c:v>
                </c:pt>
                <c:pt idx="1">
                  <c:v>100000</c:v>
                </c:pt>
                <c:pt idx="2">
                  <c:v>20000</c:v>
                </c:pt>
                <c:pt idx="3">
                  <c:v>30000</c:v>
                </c:pt>
                <c:pt idx="4">
                  <c:v>10000</c:v>
                </c:pt>
                <c:pt idx="5">
                  <c:v>5000</c:v>
                </c:pt>
              </c:numCache>
            </c:numRef>
          </c:val>
        </c:ser>
        <c:ser>
          <c:idx val="1"/>
          <c:order val="1"/>
          <c:tx>
            <c:strRef>
              <c:f>Sheet1!$C$22</c:f>
              <c:strCache>
                <c:ptCount val="1"/>
              </c:strCache>
            </c:strRef>
          </c:tx>
          <c:cat>
            <c:strRef>
              <c:f>Sheet1!$A$23:$A$28</c:f>
              <c:strCache>
                <c:ptCount val="6"/>
                <c:pt idx="0">
                  <c:v>category</c:v>
                </c:pt>
                <c:pt idx="1">
                  <c:v>sales</c:v>
                </c:pt>
                <c:pt idx="2">
                  <c:v>marketing</c:v>
                </c:pt>
                <c:pt idx="3">
                  <c:v>salary</c:v>
                </c:pt>
                <c:pt idx="4">
                  <c:v>rent</c:v>
                </c:pt>
                <c:pt idx="5">
                  <c:v>utilites</c:v>
                </c:pt>
              </c:strCache>
            </c:strRef>
          </c:cat>
          <c:val>
            <c:numRef>
              <c:f>Sheet1!$C$23:$C$28</c:f>
              <c:numCache>
                <c:formatCode>General</c:formatCode>
                <c:ptCount val="6"/>
                <c:pt idx="0">
                  <c:v>0</c:v>
                </c:pt>
                <c:pt idx="1">
                  <c:v>120000</c:v>
                </c:pt>
                <c:pt idx="2">
                  <c:v>25000</c:v>
                </c:pt>
                <c:pt idx="3">
                  <c:v>30000</c:v>
                </c:pt>
                <c:pt idx="4">
                  <c:v>10000</c:v>
                </c:pt>
                <c:pt idx="5">
                  <c:v>7000</c:v>
                </c:pt>
              </c:numCache>
            </c:numRef>
          </c:val>
        </c:ser>
        <c:axId val="38493184"/>
        <c:axId val="38589184"/>
      </c:barChart>
      <c:catAx>
        <c:axId val="38493184"/>
        <c:scaling>
          <c:orientation val="minMax"/>
        </c:scaling>
        <c:axPos val="b"/>
        <c:tickLblPos val="nextTo"/>
        <c:crossAx val="38589184"/>
        <c:crosses val="autoZero"/>
        <c:auto val="1"/>
        <c:lblAlgn val="ctr"/>
        <c:lblOffset val="100"/>
      </c:catAx>
      <c:valAx>
        <c:axId val="38589184"/>
        <c:scaling>
          <c:orientation val="minMax"/>
        </c:scaling>
        <c:axPos val="l"/>
        <c:majorGridlines/>
        <c:numFmt formatCode="General" sourceLinked="1"/>
        <c:tickLblPos val="nextTo"/>
        <c:crossAx val="3849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052132244937279"/>
          <c:y val="0.40665074652553679"/>
          <c:w val="5.4341818923120046E-2"/>
          <c:h val="0.19762746869756034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tx>
            <c:strRef>
              <c:f>Sheet1!$A$22</c:f>
              <c:strCache>
                <c:ptCount val="1"/>
              </c:strCache>
            </c:strRef>
          </c:tx>
          <c:cat>
            <c:strRef>
              <c:f>Sheet1!$A$24:$A$28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salary</c:v>
                </c:pt>
                <c:pt idx="3">
                  <c:v>rent</c:v>
                </c:pt>
                <c:pt idx="4">
                  <c:v>utilites</c:v>
                </c:pt>
              </c:strCache>
            </c:strRef>
          </c:cat>
          <c:val>
            <c:numRef>
              <c:f>Sheet1!$A$23:$A$28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Sheet1!$D$1</c:f>
              <c:strCache>
                <c:ptCount val="1"/>
              </c:strCache>
            </c:strRef>
          </c:tx>
          <c:cat>
            <c:strRef>
              <c:f>Sheet1!$A$24:$A$28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salary</c:v>
                </c:pt>
                <c:pt idx="3">
                  <c:v>rent</c:v>
                </c:pt>
                <c:pt idx="4">
                  <c:v>utilites</c:v>
                </c:pt>
              </c:strCache>
            </c:strRef>
          </c:cat>
          <c:val>
            <c:numRef>
              <c:f>Sheet1!$D$22:$D$28</c:f>
              <c:numCache>
                <c:formatCode>General</c:formatCode>
                <c:ptCount val="6"/>
                <c:pt idx="0">
                  <c:v>0</c:v>
                </c:pt>
                <c:pt idx="1">
                  <c:v>20000</c:v>
                </c:pt>
                <c:pt idx="2">
                  <c:v>5000</c:v>
                </c:pt>
                <c:pt idx="3">
                  <c:v>0</c:v>
                </c:pt>
                <c:pt idx="4">
                  <c:v>0</c:v>
                </c:pt>
                <c:pt idx="5">
                  <c:v>2000</c:v>
                </c:pt>
              </c:numCache>
            </c:numRef>
          </c:val>
        </c:ser>
        <c:overlap val="100"/>
        <c:axId val="105554304"/>
        <c:axId val="105555840"/>
      </c:barChart>
      <c:catAx>
        <c:axId val="105554304"/>
        <c:scaling>
          <c:orientation val="minMax"/>
        </c:scaling>
        <c:axPos val="b"/>
        <c:tickLblPos val="nextTo"/>
        <c:crossAx val="105555840"/>
        <c:crosses val="autoZero"/>
        <c:auto val="1"/>
        <c:lblAlgn val="ctr"/>
        <c:lblOffset val="100"/>
      </c:catAx>
      <c:valAx>
        <c:axId val="105555840"/>
        <c:scaling>
          <c:orientation val="minMax"/>
        </c:scaling>
        <c:axPos val="l"/>
        <c:majorGridlines/>
        <c:numFmt formatCode="General" sourceLinked="1"/>
        <c:tickLblPos val="nextTo"/>
        <c:crossAx val="1055543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19050</xdr:rowOff>
    </xdr:from>
    <xdr:to>
      <xdr:col>5</xdr:col>
      <xdr:colOff>0</xdr:colOff>
      <xdr:row>16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4</xdr:row>
      <xdr:rowOff>28575</xdr:rowOff>
    </xdr:from>
    <xdr:to>
      <xdr:col>13</xdr:col>
      <xdr:colOff>533400</xdr:colOff>
      <xdr:row>16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>
      <selection activeCell="H23" sqref="H23"/>
    </sheetView>
  </sheetViews>
  <sheetFormatPr defaultRowHeight="15"/>
  <cols>
    <col min="1" max="1" width="22.42578125" customWidth="1"/>
    <col min="2" max="2" width="12.140625" customWidth="1"/>
    <col min="3" max="3" width="11.7109375" customWidth="1"/>
    <col min="4" max="4" width="13.28515625" customWidth="1"/>
    <col min="5" max="5" width="15.42578125" customWidth="1"/>
    <col min="6" max="10" width="9.140625" customWidth="1"/>
  </cols>
  <sheetData>
    <row r="1" spans="1:12" ht="31.5">
      <c r="A1" s="10" t="s">
        <v>9</v>
      </c>
      <c r="B1" s="11"/>
    </row>
    <row r="2" spans="1:12" ht="21" customHeight="1">
      <c r="A2" s="12"/>
      <c r="B2" s="12"/>
    </row>
    <row r="3" spans="1:12" ht="12.75" customHeight="1">
      <c r="A3" s="13"/>
      <c r="B3" s="13"/>
      <c r="C3" s="13"/>
      <c r="D3" s="13"/>
    </row>
    <row r="4" spans="1:12" ht="24.75" customHeight="1">
      <c r="A4" s="14"/>
      <c r="B4" s="15" t="s">
        <v>10</v>
      </c>
      <c r="C4" s="14"/>
      <c r="D4" s="14"/>
      <c r="J4" s="16" t="s">
        <v>11</v>
      </c>
      <c r="K4" s="17"/>
      <c r="L4" s="9"/>
    </row>
    <row r="5" spans="1:12" ht="15" customHeight="1">
      <c r="J5" s="9"/>
      <c r="K5" s="9"/>
      <c r="L5" s="9"/>
    </row>
    <row r="6" spans="1:12" ht="14.25" customHeight="1"/>
    <row r="7" spans="1:12" ht="15.75" customHeight="1"/>
    <row r="8" spans="1:12" ht="17.25" customHeight="1"/>
    <row r="20" spans="1:5" ht="11.25" customHeight="1" thickBot="1">
      <c r="A20" s="18"/>
      <c r="B20" s="18"/>
      <c r="C20" s="18"/>
      <c r="D20" s="18"/>
      <c r="E20" s="18"/>
    </row>
    <row r="21" spans="1:5" ht="2.25" hidden="1" customHeight="1" thickBot="1">
      <c r="A21" s="18"/>
      <c r="B21" s="18"/>
      <c r="C21" s="18"/>
      <c r="D21" s="18"/>
      <c r="E21" s="18"/>
    </row>
    <row r="22" spans="1:5" ht="15.75" hidden="1" thickBot="1">
      <c r="A22" s="19"/>
      <c r="B22" s="19"/>
      <c r="C22" s="18"/>
      <c r="D22" s="18"/>
      <c r="E22" s="18"/>
    </row>
    <row r="23" spans="1:5" ht="27.75" customHeight="1" thickBot="1">
      <c r="A23" s="20" t="s">
        <v>0</v>
      </c>
      <c r="B23" s="21" t="s">
        <v>1</v>
      </c>
      <c r="C23" s="21" t="s">
        <v>12</v>
      </c>
      <c r="D23" s="21" t="s">
        <v>2</v>
      </c>
      <c r="E23" s="22" t="s">
        <v>3</v>
      </c>
    </row>
    <row r="24" spans="1:5" ht="21" customHeight="1">
      <c r="A24" s="7" t="s">
        <v>4</v>
      </c>
      <c r="B24" s="1">
        <v>100000</v>
      </c>
      <c r="C24" s="2">
        <v>120000</v>
      </c>
      <c r="D24" s="2">
        <f>C24-B24</f>
        <v>20000</v>
      </c>
      <c r="E24" s="3">
        <f>D24/B24</f>
        <v>0.2</v>
      </c>
    </row>
    <row r="25" spans="1:5" ht="22.5" customHeight="1">
      <c r="A25" s="7" t="s">
        <v>5</v>
      </c>
      <c r="B25" s="1">
        <v>20000</v>
      </c>
      <c r="C25" s="2">
        <v>25000</v>
      </c>
      <c r="D25" s="2">
        <f t="shared" ref="D25:D28" si="0">C25-B25</f>
        <v>5000</v>
      </c>
      <c r="E25" s="3">
        <f t="shared" ref="E25:E28" si="1">D25/B25</f>
        <v>0.25</v>
      </c>
    </row>
    <row r="26" spans="1:5" ht="24" customHeight="1">
      <c r="A26" s="7" t="s">
        <v>6</v>
      </c>
      <c r="B26" s="1">
        <v>30000</v>
      </c>
      <c r="C26" s="2">
        <v>30000</v>
      </c>
      <c r="D26" s="2">
        <f t="shared" si="0"/>
        <v>0</v>
      </c>
      <c r="E26" s="3">
        <f t="shared" si="1"/>
        <v>0</v>
      </c>
    </row>
    <row r="27" spans="1:5" ht="23.25" customHeight="1">
      <c r="A27" s="7" t="s">
        <v>7</v>
      </c>
      <c r="B27" s="1">
        <v>10000</v>
      </c>
      <c r="C27" s="2">
        <v>10000</v>
      </c>
      <c r="D27" s="2">
        <f t="shared" si="0"/>
        <v>0</v>
      </c>
      <c r="E27" s="3">
        <f t="shared" si="1"/>
        <v>0</v>
      </c>
    </row>
    <row r="28" spans="1:5" ht="27" customHeight="1" thickBot="1">
      <c r="A28" s="8" t="s">
        <v>8</v>
      </c>
      <c r="B28" s="4">
        <v>5000</v>
      </c>
      <c r="C28" s="5">
        <v>7000</v>
      </c>
      <c r="D28" s="5">
        <f t="shared" si="0"/>
        <v>2000</v>
      </c>
      <c r="E28" s="6">
        <f t="shared" si="1"/>
        <v>0.4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Sadguru</dc:creator>
  <cp:lastModifiedBy>Sadguru</cp:lastModifiedBy>
  <dcterms:created xsi:type="dcterms:W3CDTF">2026-03-25T07:08:30Z</dcterms:created>
  <dcterms:modified xsi:type="dcterms:W3CDTF">2026-03-25T10:21:45Z</dcterms:modified>
</cp:coreProperties>
</file>